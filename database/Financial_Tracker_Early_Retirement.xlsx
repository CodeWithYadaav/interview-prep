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shboard" sheetId="1" state="visible" r:id="rId2"/>
    <sheet name="Income" sheetId="2" state="visible" r:id="rId3"/>
    <sheet name="Expenses" sheetId="3" state="visible" r:id="rId4"/>
    <sheet name="Investments" sheetId="4" state="visible" r:id="rId5"/>
    <sheet name="Stocks" sheetId="5" state="visible" r:id="rId6"/>
    <sheet name="EmergencyFund" sheetId="6" state="visible" r:id="rId7"/>
    <sheet name="Insurance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<sst xmlns="http://schemas.openxmlformats.org/spreadsheetml/2006/main" count="64" uniqueCount="58">
  <si>
    <t xml:space="preserve">Metric</t>
  </si>
  <si>
    <t xml:space="preserve">Amount (₹)</t>
  </si>
  <si>
    <t xml:space="preserve">Total Income</t>
  </si>
  <si>
    <t xml:space="preserve">Total Expenses</t>
  </si>
  <si>
    <t xml:space="preserve">Net Savings</t>
  </si>
  <si>
    <t xml:space="preserve">Investment Corpus</t>
  </si>
  <si>
    <t xml:space="preserve">Emergency Fund</t>
  </si>
  <si>
    <t xml:space="preserve">Net Worth</t>
  </si>
  <si>
    <t xml:space="preserve">Month</t>
  </si>
  <si>
    <t xml:space="preserve">Salary (in hand)</t>
  </si>
  <si>
    <t xml:space="preserve">Other Income</t>
  </si>
  <si>
    <t xml:space="preserve">March 2025</t>
  </si>
  <si>
    <t xml:space="preserve">Category</t>
  </si>
  <si>
    <t xml:space="preserve">Rent</t>
  </si>
  <si>
    <t xml:space="preserve">Groceries</t>
  </si>
  <si>
    <t xml:space="preserve">Utilities</t>
  </si>
  <si>
    <t xml:space="preserve">Internet</t>
  </si>
  <si>
    <t xml:space="preserve">Transport</t>
  </si>
  <si>
    <t xml:space="preserve">Insurance (Life)</t>
  </si>
  <si>
    <t xml:space="preserve">Insurance (Health)</t>
  </si>
  <si>
    <t xml:space="preserve">Dining Out</t>
  </si>
  <si>
    <t xml:space="preserve">Entertainment</t>
  </si>
  <si>
    <t xml:space="preserve">Shopping</t>
  </si>
  <si>
    <t xml:space="preserve">Subscriptions</t>
  </si>
  <si>
    <t xml:space="preserve">Miscellaneous</t>
  </si>
  <si>
    <t xml:space="preserve">Total</t>
  </si>
  <si>
    <t xml:space="preserve">Fund Name</t>
  </si>
  <si>
    <t xml:space="preserve">Monthly SIP (₹)</t>
  </si>
  <si>
    <t xml:space="preserve">Start Date</t>
  </si>
  <si>
    <t xml:space="preserve">Navi Nifty 50</t>
  </si>
  <si>
    <t xml:space="preserve">Index</t>
  </si>
  <si>
    <t xml:space="preserve">2024-01-01</t>
  </si>
  <si>
    <t xml:space="preserve">Parag Parikh Flexicap</t>
  </si>
  <si>
    <t xml:space="preserve">Flexicap</t>
  </si>
  <si>
    <t xml:space="preserve">Quant Small Cap</t>
  </si>
  <si>
    <t xml:space="preserve">Small Cap</t>
  </si>
  <si>
    <t xml:space="preserve">Stock Name</t>
  </si>
  <si>
    <t xml:space="preserve">Units</t>
  </si>
  <si>
    <t xml:space="preserve">Buy Price (₹)</t>
  </si>
  <si>
    <t xml:space="preserve">Current Price (₹)</t>
  </si>
  <si>
    <t xml:space="preserve">Investment Value</t>
  </si>
  <si>
    <t xml:space="preserve">Current Value</t>
  </si>
  <si>
    <t xml:space="preserve">Example Corp</t>
  </si>
  <si>
    <t xml:space="preserve">Target (6 months expenses)</t>
  </si>
  <si>
    <t xml:space="preserve">Saved So Far</t>
  </si>
  <si>
    <t xml:space="preserve">Remaining</t>
  </si>
  <si>
    <t xml:space="preserve">Type</t>
  </si>
  <si>
    <t xml:space="preserve">Provider</t>
  </si>
  <si>
    <t xml:space="preserve">Annual Premium (₹)</t>
  </si>
  <si>
    <t xml:space="preserve">Coverage (₹)</t>
  </si>
  <si>
    <t xml:space="preserve">Term Life</t>
  </si>
  <si>
    <t xml:space="preserve">ICICI</t>
  </si>
  <si>
    <t xml:space="preserve">2 Cr</t>
  </si>
  <si>
    <t xml:space="preserve">Health</t>
  </si>
  <si>
    <t xml:space="preserve">Tata Aig</t>
  </si>
  <si>
    <t xml:space="preserve">10 L</t>
  </si>
  <si>
    <t xml:space="preserve">Critical Illness (Optional)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</si>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</sst>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12"/>
    <col collapsed="false" customWidth="true" hidden="false" outlineLevel="0" max="2" min="2" style="0" width="11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f aca="false">Income!B2</f>
        <v>0</v>
      </c>
    </row>
    <row r="3" customFormat="false" ht="15" hidden="false" customHeight="false" outlineLevel="0" collapsed="false">
      <c r="A3" s="0" t="s">
        <v>3</v>
      </c>
      <c r="B3" s="0" t="n">
        <f aca="false">Expenses!B25</f>
        <v>0</v>
      </c>
    </row>
    <row r="4" customFormat="false" ht="15" hidden="false" customHeight="false" outlineLevel="0" collapsed="false">
      <c r="A4" s="0" t="s">
        <v>4</v>
      </c>
      <c r="B4" s="0" t="n">
        <f aca="false">B1-B2</f>
        <v>0</v>
      </c>
    </row>
    <row r="5" customFormat="false" ht="15" hidden="false" customHeight="false" outlineLevel="0" collapsed="false">
      <c r="A5" s="0" t="s">
        <v>5</v>
      </c>
      <c r="B5" s="0" t="n">
        <f aca="false">Investments!B20</f>
        <v>0</v>
      </c>
    </row>
    <row r="6" customFormat="false" ht="15" hidden="false" customHeight="false" outlineLevel="0" collapsed="false">
      <c r="A6" s="0" t="s">
        <v>6</v>
      </c>
      <c r="B6" s="0" t="n">
        <f aca="false">EmergencyFund!B2</f>
        <v>210000</v>
      </c>
    </row>
    <row r="7" customFormat="false" ht="15" hidden="false" customHeight="false" outlineLevel="0" collapsed="false">
      <c r="A7" s="0" t="s">
        <v>7</v>
      </c>
      <c r="B7" s="0" t="n">
        <f aca="false">B3+B4+B5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6.24"/>
    <col collapsed="false" customWidth="true" hidden="false" outlineLevel="0" max="3" min="3" style="0" width="13.93"/>
    <col collapsed="false" customWidth="true" hidden="false" outlineLevel="0" max="4" min="4" style="0" width="13.04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2</v>
      </c>
    </row>
    <row r="2" customFormat="false" ht="15" hidden="false" customHeight="false" outlineLevel="0" collapsed="false">
      <c r="A2" s="0" t="s">
        <v>11</v>
      </c>
      <c r="B2" s="0" t="n">
        <v>116000</v>
      </c>
      <c r="C2" s="0" t="n">
        <v>0</v>
      </c>
      <c r="D2" s="0" t="n">
        <f aca="false">B2+C2</f>
        <v>116000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68"/>
    <col collapsed="false" customWidth="true" hidden="false" outlineLevel="0" max="2" min="2" style="0" width="11.83"/>
  </cols>
  <sheetData>
    <row r="1" customFormat="false" ht="15" hidden="false" customHeight="false" outlineLevel="0" collapsed="false">
      <c r="A1" s="1" t="s">
        <v>12</v>
      </c>
      <c r="B1" s="1" t="s">
        <v>1</v>
      </c>
    </row>
    <row r="2" customFormat="false" ht="15" hidden="false" customHeight="false" outlineLevel="0" collapsed="false">
      <c r="A2" s="0" t="s">
        <v>13</v>
      </c>
      <c r="B2" s="0" t="n">
        <v>0</v>
      </c>
    </row>
    <row r="3" customFormat="false" ht="13.8" hidden="false" customHeight="false" outlineLevel="0" collapsed="false">
      <c r="A3" s="0" t="s">
        <v>14</v>
      </c>
      <c r="B3" s="2" t="n">
        <v>6000</v>
      </c>
    </row>
    <row r="4" customFormat="false" ht="13.8" hidden="false" customHeight="false" outlineLevel="0" collapsed="false">
      <c r="A4" s="0" t="s">
        <v>15</v>
      </c>
      <c r="B4" s="2" t="n">
        <v>1000</v>
      </c>
    </row>
    <row r="5" customFormat="false" ht="15" hidden="false" customHeight="false" outlineLevel="0" collapsed="false">
      <c r="A5" s="0" t="s">
        <v>16</v>
      </c>
      <c r="B5" s="0" t="n">
        <v>0</v>
      </c>
    </row>
    <row r="6" customFormat="false" ht="13.8" hidden="false" customHeight="false" outlineLevel="0" collapsed="false">
      <c r="A6" s="0" t="s">
        <v>17</v>
      </c>
      <c r="B6" s="2" t="n">
        <v>12000</v>
      </c>
    </row>
    <row r="7" customFormat="false" ht="13.8" hidden="false" customHeight="false" outlineLevel="0" collapsed="false">
      <c r="A7" s="0" t="s">
        <v>18</v>
      </c>
      <c r="B7" s="2" t="n">
        <v>1550</v>
      </c>
    </row>
    <row r="8" customFormat="false" ht="15" hidden="false" customHeight="false" outlineLevel="0" collapsed="false">
      <c r="A8" s="0" t="s">
        <v>19</v>
      </c>
      <c r="B8" s="0" t="n">
        <v>1000</v>
      </c>
    </row>
    <row r="9" customFormat="false" ht="15" hidden="false" customHeight="false" outlineLevel="0" collapsed="false">
      <c r="A9" s="0" t="s">
        <v>20</v>
      </c>
      <c r="B9" s="0" t="n">
        <v>1000</v>
      </c>
    </row>
    <row r="10" customFormat="false" ht="15" hidden="false" customHeight="false" outlineLevel="0" collapsed="false">
      <c r="A10" s="0" t="s">
        <v>21</v>
      </c>
      <c r="B10" s="0" t="n">
        <v>0</v>
      </c>
    </row>
    <row r="11" customFormat="false" ht="15" hidden="false" customHeight="false" outlineLevel="0" collapsed="false">
      <c r="A11" s="0" t="s">
        <v>22</v>
      </c>
      <c r="B11" s="0" t="n">
        <v>0</v>
      </c>
    </row>
    <row r="12" customFormat="false" ht="15" hidden="false" customHeight="false" outlineLevel="0" collapsed="false">
      <c r="A12" s="0" t="s">
        <v>23</v>
      </c>
      <c r="B12" s="0" t="n">
        <v>0</v>
      </c>
    </row>
    <row r="13" customFormat="false" ht="15" hidden="false" customHeight="false" outlineLevel="0" collapsed="false">
      <c r="A13" s="0" t="s">
        <v>24</v>
      </c>
      <c r="B13" s="0" t="n">
        <v>1000</v>
      </c>
    </row>
    <row r="14" customFormat="false" ht="15" hidden="false" customHeight="false" outlineLevel="0" collapsed="false">
      <c r="A14" s="0" t="s">
        <v>25</v>
      </c>
      <c r="B14" s="0" t="n">
        <f aca="false">SUM(B1:B12)</f>
        <v>22550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9.14"/>
    <col collapsed="false" customWidth="true" hidden="false" outlineLevel="0" max="3" min="3" style="0" width="15.69"/>
    <col collapsed="false" customWidth="true" hidden="false" outlineLevel="0" max="4" min="4" style="0" width="11.17"/>
  </cols>
  <sheetData>
    <row r="1" customFormat="false" ht="15" hidden="false" customHeight="false" outlineLevel="0" collapsed="false">
      <c r="A1" s="1" t="s">
        <v>26</v>
      </c>
      <c r="B1" s="1" t="s">
        <v>12</v>
      </c>
      <c r="C1" s="1" t="s">
        <v>27</v>
      </c>
      <c r="D1" s="1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n">
        <v>5000</v>
      </c>
      <c r="D2" s="0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n">
        <v>3000</v>
      </c>
      <c r="D3" s="0" t="s">
        <v>31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n">
        <v>1600</v>
      </c>
      <c r="D4" s="0" t="s">
        <v>31</v>
      </c>
    </row>
    <row r="5" customFormat="false" ht="15" hidden="false" customHeight="false" outlineLevel="0" collapsed="false">
      <c r="A5" s="0" t="s">
        <v>25</v>
      </c>
      <c r="C5" s="0" t="n">
        <f aca="false">SUM(C2:C4)</f>
        <v>9600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6.1"/>
    <col collapsed="false" customWidth="true" hidden="false" outlineLevel="0" max="3" min="3" style="0" width="13.15"/>
    <col collapsed="false" customWidth="true" hidden="false" outlineLevel="0" max="4" min="4" style="0" width="16.68"/>
    <col collapsed="false" customWidth="true" hidden="false" outlineLevel="0" max="5" min="5" style="0" width="17.68"/>
    <col collapsed="false" customWidth="true" hidden="false" outlineLevel="0" max="6" min="6" style="0" width="14.03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customFormat="false" ht="15" hidden="false" customHeight="false" outlineLevel="0" collapsed="false">
      <c r="A2" s="0" t="s">
        <v>42</v>
      </c>
      <c r="B2" s="0" t="n">
        <v>10</v>
      </c>
      <c r="C2" s="0" t="n">
        <v>1000</v>
      </c>
      <c r="D2" s="0" t="n">
        <v>1200</v>
      </c>
      <c r="E2" s="0" t="n">
        <f aca="false">B2*C2</f>
        <v>0</v>
      </c>
      <c r="F2" s="0" t="n">
        <f aca="false">B2*D2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27"/>
    <col collapsed="false" customWidth="true" hidden="false" outlineLevel="0" max="2" min="2" style="0" width="13.26"/>
    <col collapsed="false" customWidth="true" hidden="false" outlineLevel="0" max="3" min="3" style="0" width="11.28"/>
  </cols>
  <sheetData>
    <row r="1" customFormat="false" ht="15" hidden="false" customHeight="false" outlineLevel="0" collapsed="false">
      <c r="A1" s="1" t="s">
        <v>43</v>
      </c>
      <c r="B1" s="1" t="s">
        <v>44</v>
      </c>
      <c r="C1" s="1" t="s">
        <v>45</v>
      </c>
    </row>
    <row r="2" customFormat="false" ht="15" hidden="false" customHeight="false" outlineLevel="0" collapsed="false">
      <c r="A2" s="0" t="n">
        <v>210000</v>
      </c>
      <c r="B2" s="0" t="n">
        <v>210000</v>
      </c>
      <c r="C2" s="0" t="n">
        <f aca="false">A2-A3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53"/>
    <col collapsed="false" customWidth="true" hidden="false" outlineLevel="0" max="2" min="2" style="0" width="10.51"/>
    <col collapsed="false" customWidth="true" hidden="false" outlineLevel="0" max="3" min="3" style="0" width="19.99"/>
    <col collapsed="false" customWidth="true" hidden="false" outlineLevel="0" max="4" min="4" style="0" width="13.15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</row>
    <row r="2" customFormat="false" ht="15" hidden="false" customHeight="false" outlineLevel="0" collapsed="false">
      <c r="A2" s="0" t="s">
        <v>50</v>
      </c>
      <c r="B2" s="0" t="s">
        <v>51</v>
      </c>
      <c r="C2" s="0" t="n">
        <v>19200</v>
      </c>
      <c r="D2" s="0" t="s">
        <v>52</v>
      </c>
    </row>
    <row r="3" customFormat="false" ht="15" hidden="false" customHeight="false" outlineLevel="0" collapsed="false">
      <c r="A3" s="0" t="s">
        <v>53</v>
      </c>
      <c r="B3" s="0" t="s">
        <v>54</v>
      </c>
      <c r="C3" s="0" t="n">
        <v>12000</v>
      </c>
      <c r="D3" s="0" t="s">
        <v>55</v>
      </c>
    </row>
    <row r="4" customFormat="false" ht="15" hidden="false" customHeight="false" outlineLevel="0" collapsed="false">
      <c r="A4" s="0" t="s">
        <v>56</v>
      </c>
      <c r="C4" s="0" t="n">
        <v>0</v>
      </c>
      <c r="D4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2025-04-07T09:28:21Z</dcterms:created>
  <dc:creator/>
  <dc:description/>
  <dc:language>en-IN</dc:language>
  <cp:lastModifiedBy/>
  <dcterms:modified xsi:type="dcterms:W3CDTF">2025-04-07T15:30:53Z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